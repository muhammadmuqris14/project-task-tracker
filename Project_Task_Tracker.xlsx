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Instructions" sheetId="2" state="visible" r:id="rId2"/>
  </sheets>
  <definedNames>
    <definedName name="_xlnm.Print_Area" localSheetId="0">'Task Tracker'!$A$1:$Q$62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2E75B6"/>
      <sz val="14"/>
    </font>
    <font>
      <name val="Arial"/>
      <b val="1"/>
      <color rgb="00375623"/>
      <sz val="14"/>
    </font>
    <font>
      <name val="Arial"/>
      <b val="1"/>
      <color rgb="007F6000"/>
      <sz val="14"/>
    </font>
    <font>
      <name val="Arial"/>
      <b val="1"/>
      <color rgb="00595959"/>
      <sz val="14"/>
    </font>
    <font>
      <name val="Arial"/>
      <b val="1"/>
      <color rgb="004A235A"/>
      <sz val="14"/>
    </font>
    <font>
      <name val="Arial"/>
      <b val="1"/>
      <color rgb="00C00000"/>
      <sz val="14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sz val="9"/>
    </font>
    <font>
      <name val="Arial"/>
      <b val="1"/>
      <color rgb="007F6000"/>
      <sz val="9"/>
    </font>
    <font>
      <name val="Arial"/>
      <b val="1"/>
      <color rgb="00595959"/>
      <sz val="9"/>
    </font>
    <font>
      <name val="Arial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595959"/>
      <sz val="10"/>
    </font>
    <font>
      <name val="Arial"/>
      <b val="1"/>
      <color rgb="004A235A"/>
      <sz val="10"/>
    </font>
    <font>
      <name val="Arial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FFE0E0"/>
      </patternFill>
    </fill>
    <fill>
      <patternFill patternType="solid">
        <fgColor rgb="00F7FAFD"/>
      </patternFill>
    </fill>
  </fills>
  <borders count="6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9" fontId="14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9" fontId="14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0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20" customWidth="1" min="4" max="4"/>
    <col width="28" customWidth="1" min="5" max="5"/>
    <col width="18" customWidth="1" min="6" max="6"/>
    <col width="11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3" customWidth="1" min="14" max="14"/>
    <col width="26" customWidth="1" min="15" max="15"/>
    <col width="22" customWidth="1" min="16" max="16"/>
    <col width="2" customWidth="1" min="17" max="17"/>
  </cols>
  <sheetData>
    <row r="1" ht="6" customHeight="1">
      <c r="A1" s="45" t="n"/>
      <c r="B1" s="45" t="n"/>
      <c r="C1" s="45" t="n"/>
      <c r="D1" s="45" t="n"/>
      <c r="E1" s="46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  <c r="P1" s="46" t="n"/>
    </row>
    <row r="2" ht="34" customHeight="1">
      <c r="A2" s="45" t="n"/>
      <c r="B2" s="47" t="inlineStr">
        <is>
          <t>PROJECT TASK TRACKER</t>
        </is>
      </c>
      <c r="C2" s="45" t="n"/>
      <c r="D2" s="45" t="n"/>
      <c r="E2" s="46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6" t="n"/>
      <c r="P2" s="46" t="n"/>
    </row>
    <row r="3" ht="6" customHeight="1">
      <c r="A3" s="45" t="n"/>
      <c r="B3" s="45" t="n"/>
      <c r="C3" s="45" t="n"/>
      <c r="D3" s="45" t="n"/>
      <c r="E3" s="46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  <c r="P3" s="46" t="n"/>
    </row>
    <row r="4" ht="20" customHeight="1">
      <c r="A4" s="45" t="n"/>
      <c r="B4" s="48" t="inlineStr">
        <is>
          <t xml:space="preserve">  DOCUMENT CONTROL</t>
        </is>
      </c>
      <c r="C4" s="49" t="n"/>
      <c r="D4" s="49" t="n"/>
      <c r="E4" s="50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50" t="n"/>
      <c r="P4" s="51" t="n"/>
    </row>
    <row r="5" ht="20" customHeight="1">
      <c r="A5" s="45" t="n"/>
      <c r="B5" s="52" t="inlineStr">
        <is>
          <t>Project Name</t>
        </is>
      </c>
      <c r="C5" s="53" t="n"/>
      <c r="D5" s="49" t="n"/>
      <c r="E5" s="51" t="n"/>
      <c r="F5" s="52" t="inlineStr">
        <is>
          <t>Project Manager</t>
        </is>
      </c>
      <c r="G5" s="53" t="n"/>
      <c r="H5" s="54" t="n"/>
      <c r="I5" s="52" t="inlineStr">
        <is>
          <t>Document ID</t>
        </is>
      </c>
      <c r="J5" s="53" t="inlineStr">
        <is>
          <t>PMO-TT-001</t>
        </is>
      </c>
      <c r="K5" s="52" t="inlineStr">
        <is>
          <t>Version</t>
        </is>
      </c>
      <c r="L5" s="53" t="inlineStr">
        <is>
          <t>1.0</t>
        </is>
      </c>
      <c r="M5" s="52" t="inlineStr">
        <is>
          <t>Last Updated</t>
        </is>
      </c>
      <c r="N5" s="53" t="n"/>
      <c r="O5" s="50" t="n"/>
      <c r="P5" s="51" t="n"/>
    </row>
    <row r="6" ht="6" customHeight="1">
      <c r="A6" s="45" t="n"/>
      <c r="B6" s="45" t="n"/>
      <c r="C6" s="45" t="n"/>
      <c r="D6" s="45" t="n"/>
      <c r="E6" s="46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6" t="n"/>
      <c r="P6" s="46" t="n"/>
    </row>
    <row r="7" ht="20" customHeight="1">
      <c r="A7" s="45" t="n"/>
      <c r="B7" s="48" t="inlineStr">
        <is>
          <t xml:space="preserve">  TASK SUMMARY</t>
        </is>
      </c>
      <c r="C7" s="49" t="n"/>
      <c r="D7" s="49" t="n"/>
      <c r="E7" s="50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50" t="n"/>
      <c r="P7" s="51" t="n"/>
    </row>
    <row r="8" ht="18" customHeight="1">
      <c r="A8" s="45" t="n"/>
      <c r="B8" s="55" t="inlineStr">
        <is>
          <t>TOTAL TASKS</t>
        </is>
      </c>
      <c r="C8" s="54" t="n"/>
      <c r="D8" s="55" t="inlineStr">
        <is>
          <t>COMPLETE</t>
        </is>
      </c>
      <c r="E8" s="51" t="n"/>
      <c r="F8" s="55" t="inlineStr">
        <is>
          <t>IN PROGRESS</t>
        </is>
      </c>
      <c r="G8" s="54" t="n"/>
      <c r="H8" s="55" t="inlineStr">
        <is>
          <t>NOT STARTED</t>
        </is>
      </c>
      <c r="I8" s="54" t="n"/>
      <c r="J8" s="55" t="inlineStr">
        <is>
          <t>ON HOLD</t>
        </is>
      </c>
      <c r="K8" s="54" t="n"/>
      <c r="L8" s="55" t="inlineStr">
        <is>
          <t>% DONE</t>
        </is>
      </c>
      <c r="M8" s="54" t="n"/>
      <c r="N8" s="55" t="inlineStr">
        <is>
          <t>HIGH PRIORITY</t>
        </is>
      </c>
      <c r="O8" s="51" t="n"/>
      <c r="P8" s="56" t="n"/>
    </row>
    <row r="9" ht="32" customHeight="1">
      <c r="A9" s="45" t="n"/>
      <c r="B9" s="57">
        <f>COUNTA(E12:E61)</f>
        <v/>
      </c>
      <c r="C9" s="54" t="n"/>
      <c r="D9" s="58">
        <f>COUNTIF(H12:H61,"COMPLETE")</f>
        <v/>
      </c>
      <c r="E9" s="51" t="n"/>
      <c r="F9" s="59">
        <f>COUNTIF(H12:H61,"IN PROGRESS")</f>
        <v/>
      </c>
      <c r="G9" s="54" t="n"/>
      <c r="H9" s="60">
        <f>COUNTIF(H12:H61,"NOT STARTED")</f>
        <v/>
      </c>
      <c r="I9" s="54" t="n"/>
      <c r="J9" s="61">
        <f>COUNTIF(H12:H61,"ON HOLD")</f>
        <v/>
      </c>
      <c r="K9" s="54" t="n"/>
      <c r="L9" s="62">
        <f>IFERROR(COUNTIF(H12:H61,"COMPLETE")/COUNTA(E12:E61),0)</f>
        <v/>
      </c>
      <c r="M9" s="54" t="n"/>
      <c r="N9" s="63">
        <f>COUNTIF(G12:G61,"HIGH")</f>
        <v/>
      </c>
      <c r="O9" s="51" t="n"/>
      <c r="P9" s="64" t="n"/>
    </row>
    <row r="10" ht="6" customHeight="1">
      <c r="A10" s="45" t="n"/>
      <c r="B10" s="45" t="n"/>
      <c r="C10" s="45" t="n"/>
      <c r="D10" s="45" t="n"/>
      <c r="E10" s="46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6" t="n"/>
      <c r="P10" s="46" t="n"/>
    </row>
    <row r="11" ht="20" customHeight="1">
      <c r="A11" s="45" t="n"/>
      <c r="B11" s="55" t="inlineStr">
        <is>
          <t>Task ID</t>
        </is>
      </c>
      <c r="C11" s="55" t="inlineStr">
        <is>
          <t>WBS</t>
        </is>
      </c>
      <c r="D11" s="55" t="inlineStr">
        <is>
          <t>Phase / Workstream</t>
        </is>
      </c>
      <c r="E11" s="65" t="inlineStr">
        <is>
          <t>Task Name</t>
        </is>
      </c>
      <c r="F11" s="55" t="inlineStr">
        <is>
          <t>Assigned To</t>
        </is>
      </c>
      <c r="G11" s="55" t="inlineStr">
        <is>
          <t>Priority</t>
        </is>
      </c>
      <c r="H11" s="55" t="inlineStr">
        <is>
          <t>Status</t>
        </is>
      </c>
      <c r="I11" s="55" t="inlineStr">
        <is>
          <t>Planned Start</t>
        </is>
      </c>
      <c r="J11" s="55" t="inlineStr">
        <is>
          <t>Planned End</t>
        </is>
      </c>
      <c r="K11" s="55" t="inlineStr">
        <is>
          <t>Actual Start</t>
        </is>
      </c>
      <c r="L11" s="55" t="inlineStr">
        <is>
          <t>Actual End</t>
        </is>
      </c>
      <c r="M11" s="55" t="inlineStr">
        <is>
          <t>% Complete</t>
        </is>
      </c>
      <c r="N11" s="55" t="inlineStr">
        <is>
          <t>Dependencies</t>
        </is>
      </c>
      <c r="O11" s="65" t="inlineStr">
        <is>
          <t>Deliverable / Output</t>
        </is>
      </c>
      <c r="P11" s="65" t="inlineStr">
        <is>
          <t>Remarks</t>
        </is>
      </c>
    </row>
    <row r="12" ht="22" customHeight="1">
      <c r="A12" s="45" t="n"/>
      <c r="B12" s="66" t="inlineStr">
        <is>
          <t>T-001</t>
        </is>
      </c>
      <c r="C12" s="66" t="inlineStr">
        <is>
          <t>1.1</t>
        </is>
      </c>
      <c r="D12" s="67" t="inlineStr">
        <is>
          <t>Phase 1 — Initiation</t>
        </is>
      </c>
      <c r="E12" s="17" t="inlineStr">
        <is>
          <t>Project kick-off meeting conducted</t>
        </is>
      </c>
      <c r="F12" s="67" t="inlineStr">
        <is>
          <t>Project Coordinator</t>
        </is>
      </c>
      <c r="G12" s="68" t="inlineStr">
        <is>
          <t>HIGH</t>
        </is>
      </c>
      <c r="H12" s="69" t="inlineStr">
        <is>
          <t>COMPLETE</t>
        </is>
      </c>
      <c r="I12" s="70" t="inlineStr">
        <is>
          <t>02/01/25</t>
        </is>
      </c>
      <c r="J12" s="70" t="inlineStr">
        <is>
          <t>02/01/25</t>
        </is>
      </c>
      <c r="K12" s="70" t="inlineStr">
        <is>
          <t>02/01/25</t>
        </is>
      </c>
      <c r="L12" s="70" t="inlineStr">
        <is>
          <t>02/01/25</t>
        </is>
      </c>
      <c r="M12" s="71" t="n">
        <v>1</v>
      </c>
      <c r="N12" s="70" t="inlineStr">
        <is>
          <t>—</t>
        </is>
      </c>
      <c r="O12" s="17" t="inlineStr">
        <is>
          <t>Meeting Minutes — Kick-Off Meeting</t>
        </is>
      </c>
      <c r="P12" s="17" t="inlineStr">
        <is>
          <t>Completed on schedule</t>
        </is>
      </c>
    </row>
    <row r="13" ht="22" customHeight="1">
      <c r="A13" s="45" t="n"/>
      <c r="B13" s="72" t="inlineStr">
        <is>
          <t>T-002</t>
        </is>
      </c>
      <c r="C13" s="72" t="inlineStr">
        <is>
          <t>1.2</t>
        </is>
      </c>
      <c r="D13" s="53" t="inlineStr">
        <is>
          <t>Phase 1 — Initiation</t>
        </is>
      </c>
      <c r="E13" s="23" t="inlineStr">
        <is>
          <t>Letter of Award (LOA) received</t>
        </is>
      </c>
      <c r="F13" s="53" t="inlineStr">
        <is>
          <t>Project Coordinator</t>
        </is>
      </c>
      <c r="G13" s="68" t="inlineStr">
        <is>
          <t>HIGH</t>
        </is>
      </c>
      <c r="H13" s="69" t="inlineStr">
        <is>
          <t>COMPLETE</t>
        </is>
      </c>
      <c r="I13" s="73" t="inlineStr">
        <is>
          <t>03/01/25</t>
        </is>
      </c>
      <c r="J13" s="73" t="inlineStr">
        <is>
          <t>03/01/25</t>
        </is>
      </c>
      <c r="K13" s="73" t="inlineStr">
        <is>
          <t>03/01/25</t>
        </is>
      </c>
      <c r="L13" s="73" t="inlineStr">
        <is>
          <t>03/01/25</t>
        </is>
      </c>
      <c r="M13" s="74" t="n">
        <v>1</v>
      </c>
      <c r="N13" s="73" t="inlineStr">
        <is>
          <t>T-001</t>
        </is>
      </c>
      <c r="O13" s="23" t="inlineStr">
        <is>
          <t>Letter of Award — Signed copy filed</t>
        </is>
      </c>
      <c r="P13" s="23" t="inlineStr">
        <is>
          <t>LOA received from client</t>
        </is>
      </c>
    </row>
    <row r="14" ht="22" customHeight="1">
      <c r="A14" s="45" t="n"/>
      <c r="B14" s="66" t="inlineStr">
        <is>
          <t>T-003</t>
        </is>
      </c>
      <c r="C14" s="66" t="inlineStr">
        <is>
          <t>1.3</t>
        </is>
      </c>
      <c r="D14" s="67" t="inlineStr">
        <is>
          <t>Phase 1 — Initiation</t>
        </is>
      </c>
      <c r="E14" s="17" t="inlineStr">
        <is>
          <t>Project Charter drafted and approved</t>
        </is>
      </c>
      <c r="F14" s="67" t="inlineStr">
        <is>
          <t>Project Coordinator</t>
        </is>
      </c>
      <c r="G14" s="68" t="inlineStr">
        <is>
          <t>HIGH</t>
        </is>
      </c>
      <c r="H14" s="69" t="inlineStr">
        <is>
          <t>COMPLETE</t>
        </is>
      </c>
      <c r="I14" s="70" t="inlineStr">
        <is>
          <t>06/01/25</t>
        </is>
      </c>
      <c r="J14" s="70" t="inlineStr">
        <is>
          <t>08/01/25</t>
        </is>
      </c>
      <c r="K14" s="70" t="inlineStr">
        <is>
          <t>06/01/25</t>
        </is>
      </c>
      <c r="L14" s="70" t="inlineStr">
        <is>
          <t>08/01/25</t>
        </is>
      </c>
      <c r="M14" s="71" t="n">
        <v>1</v>
      </c>
      <c r="N14" s="70" t="inlineStr">
        <is>
          <t>T-002</t>
        </is>
      </c>
      <c r="O14" s="17" t="inlineStr">
        <is>
          <t>Project Charter v1.0 — Approved</t>
        </is>
      </c>
      <c r="P14" s="17" t="inlineStr">
        <is>
          <t>Approved by PM</t>
        </is>
      </c>
    </row>
    <row r="15" ht="22" customHeight="1">
      <c r="A15" s="45" t="n"/>
      <c r="B15" s="72" t="inlineStr">
        <is>
          <t>T-004</t>
        </is>
      </c>
      <c r="C15" s="72" t="inlineStr">
        <is>
          <t>1.4</t>
        </is>
      </c>
      <c r="D15" s="53" t="inlineStr">
        <is>
          <t>Phase 1 — Initiation</t>
        </is>
      </c>
      <c r="E15" s="23" t="inlineStr">
        <is>
          <t>Stakeholder register created</t>
        </is>
      </c>
      <c r="F15" s="53" t="inlineStr">
        <is>
          <t>Project Coordinator</t>
        </is>
      </c>
      <c r="G15" s="75" t="inlineStr">
        <is>
          <t>MEDIUM</t>
        </is>
      </c>
      <c r="H15" s="69" t="inlineStr">
        <is>
          <t>COMPLETE</t>
        </is>
      </c>
      <c r="I15" s="73" t="inlineStr">
        <is>
          <t>09/01/25</t>
        </is>
      </c>
      <c r="J15" s="73" t="inlineStr">
        <is>
          <t>10/01/25</t>
        </is>
      </c>
      <c r="K15" s="73" t="inlineStr">
        <is>
          <t>09/01/25</t>
        </is>
      </c>
      <c r="L15" s="73" t="inlineStr">
        <is>
          <t>10/01/25</t>
        </is>
      </c>
      <c r="M15" s="74" t="n">
        <v>1</v>
      </c>
      <c r="N15" s="73" t="inlineStr">
        <is>
          <t>T-003</t>
        </is>
      </c>
      <c r="O15" s="23" t="inlineStr">
        <is>
          <t>Stakeholder Register v1.0</t>
        </is>
      </c>
      <c r="P15" s="23" t="n"/>
    </row>
    <row r="16" ht="22" customHeight="1">
      <c r="A16" s="45" t="n"/>
      <c r="B16" s="66" t="inlineStr">
        <is>
          <t>T-005</t>
        </is>
      </c>
      <c r="C16" s="66" t="inlineStr">
        <is>
          <t>1.5</t>
        </is>
      </c>
      <c r="D16" s="67" t="inlineStr">
        <is>
          <t>Phase 1 — Initiation</t>
        </is>
      </c>
      <c r="E16" s="17" t="inlineStr">
        <is>
          <t>Communication plan established</t>
        </is>
      </c>
      <c r="F16" s="67" t="inlineStr">
        <is>
          <t>Project Coordinator</t>
        </is>
      </c>
      <c r="G16" s="75" t="inlineStr">
        <is>
          <t>MEDIUM</t>
        </is>
      </c>
      <c r="H16" s="69" t="inlineStr">
        <is>
          <t>COMPLETE</t>
        </is>
      </c>
      <c r="I16" s="70" t="inlineStr">
        <is>
          <t>13/01/25</t>
        </is>
      </c>
      <c r="J16" s="70" t="inlineStr">
        <is>
          <t>14/01/25</t>
        </is>
      </c>
      <c r="K16" s="70" t="inlineStr">
        <is>
          <t>13/01/25</t>
        </is>
      </c>
      <c r="L16" s="70" t="inlineStr">
        <is>
          <t>14/01/25</t>
        </is>
      </c>
      <c r="M16" s="71" t="n">
        <v>1</v>
      </c>
      <c r="N16" s="70" t="inlineStr">
        <is>
          <t>T-004</t>
        </is>
      </c>
      <c r="O16" s="17" t="inlineStr">
        <is>
          <t>Communication Plan v1.0</t>
        </is>
      </c>
      <c r="P16" s="17" t="n"/>
    </row>
    <row r="17" ht="22" customHeight="1">
      <c r="A17" s="45" t="n"/>
      <c r="B17" s="72" t="inlineStr">
        <is>
          <t>T-006</t>
        </is>
      </c>
      <c r="C17" s="72" t="inlineStr">
        <is>
          <t>2.1</t>
        </is>
      </c>
      <c r="D17" s="53" t="inlineStr">
        <is>
          <t>Phase 2 — Planning</t>
        </is>
      </c>
      <c r="E17" s="23" t="inlineStr">
        <is>
          <t>BRS sessions conducted with client</t>
        </is>
      </c>
      <c r="F17" s="53" t="inlineStr">
        <is>
          <t>Business Analyst</t>
        </is>
      </c>
      <c r="G17" s="68" t="inlineStr">
        <is>
          <t>HIGH</t>
        </is>
      </c>
      <c r="H17" s="69" t="inlineStr">
        <is>
          <t>COMPLETE</t>
        </is>
      </c>
      <c r="I17" s="73" t="inlineStr">
        <is>
          <t>16/01/25</t>
        </is>
      </c>
      <c r="J17" s="73" t="inlineStr">
        <is>
          <t>17/01/25</t>
        </is>
      </c>
      <c r="K17" s="73" t="inlineStr">
        <is>
          <t>16/01/25</t>
        </is>
      </c>
      <c r="L17" s="73" t="inlineStr">
        <is>
          <t>17/01/25</t>
        </is>
      </c>
      <c r="M17" s="74" t="n">
        <v>1</v>
      </c>
      <c r="N17" s="73" t="inlineStr">
        <is>
          <t>T-005</t>
        </is>
      </c>
      <c r="O17" s="23" t="inlineStr">
        <is>
          <t>BRS Session Notes and Attendance Record</t>
        </is>
      </c>
      <c r="P17" s="23" t="inlineStr">
        <is>
          <t>2 sessions held</t>
        </is>
      </c>
    </row>
    <row r="18" ht="22" customHeight="1">
      <c r="A18" s="45" t="n"/>
      <c r="B18" s="66" t="inlineStr">
        <is>
          <t>T-007</t>
        </is>
      </c>
      <c r="C18" s="66" t="inlineStr">
        <is>
          <t>2.2</t>
        </is>
      </c>
      <c r="D18" s="67" t="inlineStr">
        <is>
          <t>Phase 2 — Planning</t>
        </is>
      </c>
      <c r="E18" s="17" t="inlineStr">
        <is>
          <t>BRS document drafted and signed off</t>
        </is>
      </c>
      <c r="F18" s="67" t="inlineStr">
        <is>
          <t>Business Analyst</t>
        </is>
      </c>
      <c r="G18" s="68" t="inlineStr">
        <is>
          <t>HIGH</t>
        </is>
      </c>
      <c r="H18" s="69" t="inlineStr">
        <is>
          <t>COMPLETE</t>
        </is>
      </c>
      <c r="I18" s="70" t="inlineStr">
        <is>
          <t>20/01/25</t>
        </is>
      </c>
      <c r="J18" s="70" t="inlineStr">
        <is>
          <t>22/01/25</t>
        </is>
      </c>
      <c r="K18" s="70" t="inlineStr">
        <is>
          <t>20/01/25</t>
        </is>
      </c>
      <c r="L18" s="70" t="inlineStr">
        <is>
          <t>22/01/25</t>
        </is>
      </c>
      <c r="M18" s="71" t="n">
        <v>1</v>
      </c>
      <c r="N18" s="70" t="inlineStr">
        <is>
          <t>T-006</t>
        </is>
      </c>
      <c r="O18" s="17" t="inlineStr">
        <is>
          <t>Business Requirements Spec (BRS) v1.0 — Signed</t>
        </is>
      </c>
      <c r="P18" s="17" t="inlineStr">
        <is>
          <t>Client signed off 22 Jan</t>
        </is>
      </c>
    </row>
    <row r="19" ht="22" customHeight="1">
      <c r="A19" s="45" t="n"/>
      <c r="B19" s="72" t="inlineStr">
        <is>
          <t>T-008</t>
        </is>
      </c>
      <c r="C19" s="72" t="inlineStr">
        <is>
          <t>2.3</t>
        </is>
      </c>
      <c r="D19" s="53" t="inlineStr">
        <is>
          <t>Phase 2 — Planning</t>
        </is>
      </c>
      <c r="E19" s="23" t="inlineStr">
        <is>
          <t>SRS drafted and approved</t>
        </is>
      </c>
      <c r="F19" s="53" t="inlineStr">
        <is>
          <t>Business Analyst</t>
        </is>
      </c>
      <c r="G19" s="68" t="inlineStr">
        <is>
          <t>HIGH</t>
        </is>
      </c>
      <c r="H19" s="69" t="inlineStr">
        <is>
          <t>COMPLETE</t>
        </is>
      </c>
      <c r="I19" s="73" t="inlineStr">
        <is>
          <t>23/01/25</t>
        </is>
      </c>
      <c r="J19" s="73" t="inlineStr">
        <is>
          <t>30/01/25</t>
        </is>
      </c>
      <c r="K19" s="73" t="inlineStr">
        <is>
          <t>23/01/25</t>
        </is>
      </c>
      <c r="L19" s="73" t="inlineStr">
        <is>
          <t>30/01/25</t>
        </is>
      </c>
      <c r="M19" s="74" t="n">
        <v>1</v>
      </c>
      <c r="N19" s="73" t="inlineStr">
        <is>
          <t>T-007</t>
        </is>
      </c>
      <c r="O19" s="23" t="inlineStr">
        <is>
          <t>System Requirements Spec (SRS) v1.0 — Approved</t>
        </is>
      </c>
      <c r="P19" s="23" t="n"/>
    </row>
    <row r="20" ht="22" customHeight="1">
      <c r="A20" s="45" t="n"/>
      <c r="B20" s="66" t="inlineStr">
        <is>
          <t>T-009</t>
        </is>
      </c>
      <c r="C20" s="66" t="inlineStr">
        <is>
          <t>2.4</t>
        </is>
      </c>
      <c r="D20" s="67" t="inlineStr">
        <is>
          <t>Phase 2 — Planning</t>
        </is>
      </c>
      <c r="E20" s="17" t="inlineStr">
        <is>
          <t>Master project schedule developed and baselined</t>
        </is>
      </c>
      <c r="F20" s="67" t="inlineStr">
        <is>
          <t>Project Coordinator</t>
        </is>
      </c>
      <c r="G20" s="68" t="inlineStr">
        <is>
          <t>HIGH</t>
        </is>
      </c>
      <c r="H20" s="69" t="inlineStr">
        <is>
          <t>COMPLETE</t>
        </is>
      </c>
      <c r="I20" s="70" t="inlineStr">
        <is>
          <t>29/01/25</t>
        </is>
      </c>
      <c r="J20" s="70" t="inlineStr">
        <is>
          <t>30/01/25</t>
        </is>
      </c>
      <c r="K20" s="70" t="inlineStr">
        <is>
          <t>29/01/25</t>
        </is>
      </c>
      <c r="L20" s="70" t="inlineStr">
        <is>
          <t>30/01/25</t>
        </is>
      </c>
      <c r="M20" s="71" t="n">
        <v>1</v>
      </c>
      <c r="N20" s="70" t="inlineStr">
        <is>
          <t>T-008</t>
        </is>
      </c>
      <c r="O20" s="17" t="inlineStr">
        <is>
          <t>Master Project Schedule — Baselined</t>
        </is>
      </c>
      <c r="P20" s="17" t="inlineStr">
        <is>
          <t>Baseline locked 30 Jan</t>
        </is>
      </c>
    </row>
    <row r="21" ht="22" customHeight="1">
      <c r="A21" s="45" t="n"/>
      <c r="B21" s="72" t="inlineStr">
        <is>
          <t>T-010</t>
        </is>
      </c>
      <c r="C21" s="72" t="inlineStr">
        <is>
          <t>2.5</t>
        </is>
      </c>
      <c r="D21" s="53" t="inlineStr">
        <is>
          <t>Phase 2 — Planning</t>
        </is>
      </c>
      <c r="E21" s="23" t="inlineStr">
        <is>
          <t>Risk register established</t>
        </is>
      </c>
      <c r="F21" s="53" t="inlineStr">
        <is>
          <t>Project Coordinator</t>
        </is>
      </c>
      <c r="G21" s="75" t="inlineStr">
        <is>
          <t>MEDIUM</t>
        </is>
      </c>
      <c r="H21" s="69" t="inlineStr">
        <is>
          <t>COMPLETE</t>
        </is>
      </c>
      <c r="I21" s="73" t="inlineStr">
        <is>
          <t>31/01/25</t>
        </is>
      </c>
      <c r="J21" s="73" t="inlineStr">
        <is>
          <t>03/02/25</t>
        </is>
      </c>
      <c r="K21" s="73" t="inlineStr">
        <is>
          <t>31/01/25</t>
        </is>
      </c>
      <c r="L21" s="73" t="inlineStr">
        <is>
          <t>03/02/25</t>
        </is>
      </c>
      <c r="M21" s="74" t="n">
        <v>1</v>
      </c>
      <c r="N21" s="73" t="inlineStr">
        <is>
          <t>T-009</t>
        </is>
      </c>
      <c r="O21" s="23" t="inlineStr">
        <is>
          <t>Risk Register v1.0</t>
        </is>
      </c>
      <c r="P21" s="23" t="n"/>
    </row>
    <row r="22" ht="22" customHeight="1">
      <c r="A22" s="45" t="n"/>
      <c r="B22" s="66" t="inlineStr">
        <is>
          <t>T-011</t>
        </is>
      </c>
      <c r="C22" s="66" t="inlineStr">
        <is>
          <t>3.1</t>
        </is>
      </c>
      <c r="D22" s="67" t="inlineStr">
        <is>
          <t>Phase 3 — Development</t>
        </is>
      </c>
      <c r="E22" s="17" t="inlineStr">
        <is>
          <t>Portal architecture design</t>
        </is>
      </c>
      <c r="F22" s="67" t="inlineStr">
        <is>
          <t>System Developer</t>
        </is>
      </c>
      <c r="G22" s="68" t="inlineStr">
        <is>
          <t>HIGH</t>
        </is>
      </c>
      <c r="H22" s="69" t="inlineStr">
        <is>
          <t>COMPLETE</t>
        </is>
      </c>
      <c r="I22" s="70" t="inlineStr">
        <is>
          <t>05/02/25</t>
        </is>
      </c>
      <c r="J22" s="70" t="inlineStr">
        <is>
          <t>11/02/25</t>
        </is>
      </c>
      <c r="K22" s="70" t="inlineStr">
        <is>
          <t>05/02/25</t>
        </is>
      </c>
      <c r="L22" s="70" t="inlineStr">
        <is>
          <t>11/02/25</t>
        </is>
      </c>
      <c r="M22" s="71" t="n">
        <v>1</v>
      </c>
      <c r="N22" s="70" t="inlineStr">
        <is>
          <t>T-010</t>
        </is>
      </c>
      <c r="O22" s="17" t="inlineStr">
        <is>
          <t>Portal Architecture Design Document</t>
        </is>
      </c>
      <c r="P22" s="17" t="n"/>
    </row>
    <row r="23" ht="22" customHeight="1">
      <c r="A23" s="45" t="n"/>
      <c r="B23" s="72" t="inlineStr">
        <is>
          <t>T-012</t>
        </is>
      </c>
      <c r="C23" s="72" t="inlineStr">
        <is>
          <t>3.2</t>
        </is>
      </c>
      <c r="D23" s="53" t="inlineStr">
        <is>
          <t>Phase 3 — Development</t>
        </is>
      </c>
      <c r="E23" s="23" t="inlineStr">
        <is>
          <t>User Management module development</t>
        </is>
      </c>
      <c r="F23" s="53" t="inlineStr">
        <is>
          <t>System Developer</t>
        </is>
      </c>
      <c r="G23" s="68" t="inlineStr">
        <is>
          <t>HIGH</t>
        </is>
      </c>
      <c r="H23" s="69" t="inlineStr">
        <is>
          <t>COMPLETE</t>
        </is>
      </c>
      <c r="I23" s="73" t="inlineStr">
        <is>
          <t>12/02/25</t>
        </is>
      </c>
      <c r="J23" s="73" t="inlineStr">
        <is>
          <t>25/02/25</t>
        </is>
      </c>
      <c r="K23" s="73" t="inlineStr">
        <is>
          <t>12/02/25</t>
        </is>
      </c>
      <c r="L23" s="73" t="inlineStr">
        <is>
          <t>25/02/25</t>
        </is>
      </c>
      <c r="M23" s="74" t="n">
        <v>1</v>
      </c>
      <c r="N23" s="73" t="inlineStr">
        <is>
          <t>T-011</t>
        </is>
      </c>
      <c r="O23" s="23" t="inlineStr">
        <is>
          <t>User Management Module — Build Complete</t>
        </is>
      </c>
      <c r="P23" s="23" t="n"/>
    </row>
    <row r="24" ht="22" customHeight="1">
      <c r="A24" s="45" t="n"/>
      <c r="B24" s="66" t="inlineStr">
        <is>
          <t>T-013</t>
        </is>
      </c>
      <c r="C24" s="66" t="inlineStr">
        <is>
          <t>3.3</t>
        </is>
      </c>
      <c r="D24" s="67" t="inlineStr">
        <is>
          <t>Phase 3 — Development</t>
        </is>
      </c>
      <c r="E24" s="17" t="inlineStr">
        <is>
          <t>Portal module development</t>
        </is>
      </c>
      <c r="F24" s="67" t="inlineStr">
        <is>
          <t>System Developer</t>
        </is>
      </c>
      <c r="G24" s="68" t="inlineStr">
        <is>
          <t>HIGH</t>
        </is>
      </c>
      <c r="H24" s="69" t="inlineStr">
        <is>
          <t>COMPLETE</t>
        </is>
      </c>
      <c r="I24" s="70" t="inlineStr">
        <is>
          <t>05/02/25</t>
        </is>
      </c>
      <c r="J24" s="70" t="inlineStr">
        <is>
          <t>18/02/25</t>
        </is>
      </c>
      <c r="K24" s="70" t="inlineStr">
        <is>
          <t>05/02/25</t>
        </is>
      </c>
      <c r="L24" s="70" t="inlineStr">
        <is>
          <t>18/02/25</t>
        </is>
      </c>
      <c r="M24" s="71" t="n">
        <v>1</v>
      </c>
      <c r="N24" s="70" t="inlineStr">
        <is>
          <t>T-011</t>
        </is>
      </c>
      <c r="O24" s="17" t="inlineStr">
        <is>
          <t>Portal Module — Build Complete</t>
        </is>
      </c>
      <c r="P24" s="17" t="inlineStr">
        <is>
          <t>SS with T-012</t>
        </is>
      </c>
    </row>
    <row r="25" ht="22" customHeight="1">
      <c r="A25" s="45" t="n"/>
      <c r="B25" s="72" t="inlineStr">
        <is>
          <t>T-014</t>
        </is>
      </c>
      <c r="C25" s="72" t="inlineStr">
        <is>
          <t>3.4</t>
        </is>
      </c>
      <c r="D25" s="53" t="inlineStr">
        <is>
          <t>Phase 3 — Development</t>
        </is>
      </c>
      <c r="E25" s="23" t="inlineStr">
        <is>
          <t>Data extraction from legacy system</t>
        </is>
      </c>
      <c r="F25" s="53" t="inlineStr">
        <is>
          <t>Business Analyst</t>
        </is>
      </c>
      <c r="G25" s="68" t="inlineStr">
        <is>
          <t>HIGH</t>
        </is>
      </c>
      <c r="H25" s="69" t="inlineStr">
        <is>
          <t>COMPLETE</t>
        </is>
      </c>
      <c r="I25" s="73" t="inlineStr">
        <is>
          <t>05/02/25</t>
        </is>
      </c>
      <c r="J25" s="73" t="inlineStr">
        <is>
          <t>11/02/25</t>
        </is>
      </c>
      <c r="K25" s="73" t="inlineStr">
        <is>
          <t>05/02/25</t>
        </is>
      </c>
      <c r="L25" s="73" t="inlineStr">
        <is>
          <t>11/02/25</t>
        </is>
      </c>
      <c r="M25" s="74" t="n">
        <v>1</v>
      </c>
      <c r="N25" s="73" t="inlineStr">
        <is>
          <t>T-010</t>
        </is>
      </c>
      <c r="O25" s="23" t="inlineStr">
        <is>
          <t>Data Extraction Report</t>
        </is>
      </c>
      <c r="P25" s="23" t="n"/>
    </row>
    <row r="26" ht="22" customHeight="1">
      <c r="A26" s="45" t="n"/>
      <c r="B26" s="66" t="inlineStr">
        <is>
          <t>T-015</t>
        </is>
      </c>
      <c r="C26" s="66" t="inlineStr">
        <is>
          <t>3.5</t>
        </is>
      </c>
      <c r="D26" s="67" t="inlineStr">
        <is>
          <t>Phase 3 — Development</t>
        </is>
      </c>
      <c r="E26" s="17" t="inlineStr">
        <is>
          <t>Data cleansing and validation scripts</t>
        </is>
      </c>
      <c r="F26" s="67" t="inlineStr">
        <is>
          <t>Business Analyst</t>
        </is>
      </c>
      <c r="G26" s="68" t="inlineStr">
        <is>
          <t>HIGH</t>
        </is>
      </c>
      <c r="H26" s="69" t="inlineStr">
        <is>
          <t>COMPLETE</t>
        </is>
      </c>
      <c r="I26" s="70" t="inlineStr">
        <is>
          <t>12/02/25</t>
        </is>
      </c>
      <c r="J26" s="70" t="inlineStr">
        <is>
          <t>18/02/25</t>
        </is>
      </c>
      <c r="K26" s="70" t="inlineStr">
        <is>
          <t>12/02/25</t>
        </is>
      </c>
      <c r="L26" s="70" t="inlineStr">
        <is>
          <t>18/02/25</t>
        </is>
      </c>
      <c r="M26" s="71" t="n">
        <v>1</v>
      </c>
      <c r="N26" s="70" t="inlineStr">
        <is>
          <t>T-014</t>
        </is>
      </c>
      <c r="O26" s="17" t="inlineStr">
        <is>
          <t>Data Cleansing and Validation Report</t>
        </is>
      </c>
      <c r="P26" s="17" t="n"/>
    </row>
    <row r="27" ht="22" customHeight="1">
      <c r="A27" s="45" t="n"/>
      <c r="B27" s="72" t="inlineStr">
        <is>
          <t>T-016</t>
        </is>
      </c>
      <c r="C27" s="72" t="inlineStr">
        <is>
          <t>3.6</t>
        </is>
      </c>
      <c r="D27" s="53" t="inlineStr">
        <is>
          <t>Phase 3 — Development</t>
        </is>
      </c>
      <c r="E27" s="23" t="inlineStr">
        <is>
          <t>Data migration dry run</t>
        </is>
      </c>
      <c r="F27" s="53" t="inlineStr">
        <is>
          <t>Business Analyst</t>
        </is>
      </c>
      <c r="G27" s="68" t="inlineStr">
        <is>
          <t>HIGH</t>
        </is>
      </c>
      <c r="H27" s="75" t="inlineStr">
        <is>
          <t>IN PROGRESS</t>
        </is>
      </c>
      <c r="I27" s="73" t="inlineStr">
        <is>
          <t>19/02/25</t>
        </is>
      </c>
      <c r="J27" s="73" t="inlineStr">
        <is>
          <t>21/02/25</t>
        </is>
      </c>
      <c r="K27" s="73" t="inlineStr">
        <is>
          <t>19/02/25</t>
        </is>
      </c>
      <c r="L27" s="73" t="n"/>
      <c r="M27" s="74" t="n">
        <v>0.6</v>
      </c>
      <c r="N27" s="73" t="inlineStr">
        <is>
          <t>T-015</t>
        </is>
      </c>
      <c r="O27" s="23" t="inlineStr">
        <is>
          <t>Data Migration Dry Run Report</t>
        </is>
      </c>
      <c r="P27" s="23" t="inlineStr">
        <is>
          <t>Verification in progress</t>
        </is>
      </c>
    </row>
    <row r="28" ht="22" customHeight="1">
      <c r="A28" s="45" t="n"/>
      <c r="B28" s="66" t="inlineStr">
        <is>
          <t>T-017</t>
        </is>
      </c>
      <c r="C28" s="66" t="inlineStr">
        <is>
          <t>3.7</t>
        </is>
      </c>
      <c r="D28" s="67" t="inlineStr">
        <is>
          <t>Phase 3 — Development</t>
        </is>
      </c>
      <c r="E28" s="17" t="inlineStr">
        <is>
          <t>Data migration sign-off</t>
        </is>
      </c>
      <c r="F28" s="67" t="inlineStr">
        <is>
          <t>Project Coordinator</t>
        </is>
      </c>
      <c r="G28" s="68" t="inlineStr">
        <is>
          <t>HIGH</t>
        </is>
      </c>
      <c r="H28" s="76" t="inlineStr">
        <is>
          <t>NOT STARTED</t>
        </is>
      </c>
      <c r="I28" s="70" t="inlineStr">
        <is>
          <t>21/02/25</t>
        </is>
      </c>
      <c r="J28" s="70" t="inlineStr">
        <is>
          <t>21/02/25</t>
        </is>
      </c>
      <c r="K28" s="70" t="n"/>
      <c r="L28" s="70" t="n"/>
      <c r="M28" s="71" t="n">
        <v>0</v>
      </c>
      <c r="N28" s="70" t="inlineStr">
        <is>
          <t>T-016</t>
        </is>
      </c>
      <c r="O28" s="17" t="inlineStr">
        <is>
          <t>Data Migration Sign-Off Form — Signed</t>
        </is>
      </c>
      <c r="P28" s="17" t="inlineStr">
        <is>
          <t>Pending dry run completion</t>
        </is>
      </c>
    </row>
    <row r="29" ht="22" customHeight="1">
      <c r="A29" s="45" t="n"/>
      <c r="B29" s="72" t="inlineStr">
        <is>
          <t>T-018</t>
        </is>
      </c>
      <c r="C29" s="72" t="inlineStr">
        <is>
          <t>3.8</t>
        </is>
      </c>
      <c r="D29" s="53" t="inlineStr">
        <is>
          <t>Phase 3 — Development</t>
        </is>
      </c>
      <c r="E29" s="23" t="inlineStr">
        <is>
          <t>Integration test environment setup</t>
        </is>
      </c>
      <c r="F29" s="53" t="inlineStr">
        <is>
          <t>System Developer</t>
        </is>
      </c>
      <c r="G29" s="75" t="inlineStr">
        <is>
          <t>MEDIUM</t>
        </is>
      </c>
      <c r="H29" s="69" t="inlineStr">
        <is>
          <t>COMPLETE</t>
        </is>
      </c>
      <c r="I29" s="73" t="inlineStr">
        <is>
          <t>05/02/25</t>
        </is>
      </c>
      <c r="J29" s="73" t="inlineStr">
        <is>
          <t>07/02/25</t>
        </is>
      </c>
      <c r="K29" s="73" t="inlineStr">
        <is>
          <t>05/02/25</t>
        </is>
      </c>
      <c r="L29" s="73" t="inlineStr">
        <is>
          <t>07/02/25</t>
        </is>
      </c>
      <c r="M29" s="74" t="n">
        <v>1</v>
      </c>
      <c r="N29" s="73" t="inlineStr">
        <is>
          <t>T-010</t>
        </is>
      </c>
      <c r="O29" s="23" t="inlineStr">
        <is>
          <t>Integration Test Environment Setup Confirmation</t>
        </is>
      </c>
      <c r="P29" s="23" t="n"/>
    </row>
    <row r="30" ht="22" customHeight="1">
      <c r="A30" s="45" t="n"/>
      <c r="B30" s="66" t="inlineStr">
        <is>
          <t>T-019</t>
        </is>
      </c>
      <c r="C30" s="66" t="inlineStr">
        <is>
          <t>3.9</t>
        </is>
      </c>
      <c r="D30" s="67" t="inlineStr">
        <is>
          <t>Phase 3 — Development</t>
        </is>
      </c>
      <c r="E30" s="17" t="inlineStr">
        <is>
          <t>Integration testing Phase 1</t>
        </is>
      </c>
      <c r="F30" s="67" t="inlineStr">
        <is>
          <t>QA Tester</t>
        </is>
      </c>
      <c r="G30" s="68" t="inlineStr">
        <is>
          <t>HIGH</t>
        </is>
      </c>
      <c r="H30" s="69" t="inlineStr">
        <is>
          <t>COMPLETE</t>
        </is>
      </c>
      <c r="I30" s="70" t="inlineStr">
        <is>
          <t>10/02/25</t>
        </is>
      </c>
      <c r="J30" s="70" t="inlineStr">
        <is>
          <t>18/02/25</t>
        </is>
      </c>
      <c r="K30" s="70" t="inlineStr">
        <is>
          <t>10/02/25</t>
        </is>
      </c>
      <c r="L30" s="70" t="inlineStr">
        <is>
          <t>18/02/25</t>
        </is>
      </c>
      <c r="M30" s="71" t="n">
        <v>1</v>
      </c>
      <c r="N30" s="70" t="inlineStr">
        <is>
          <t>T-018</t>
        </is>
      </c>
      <c r="O30" s="17" t="inlineStr">
        <is>
          <t>Integration Test Report — Phase 1</t>
        </is>
      </c>
      <c r="P30" s="17" t="n"/>
    </row>
    <row r="31" ht="22" customHeight="1">
      <c r="A31" s="45" t="n"/>
      <c r="B31" s="72" t="inlineStr">
        <is>
          <t>T-020</t>
        </is>
      </c>
      <c r="C31" s="72" t="inlineStr">
        <is>
          <t>3.10</t>
        </is>
      </c>
      <c r="D31" s="53" t="inlineStr">
        <is>
          <t>Phase 3 — Development</t>
        </is>
      </c>
      <c r="E31" s="23" t="inlineStr">
        <is>
          <t>Integration testing Phase 2</t>
        </is>
      </c>
      <c r="F31" s="53" t="inlineStr">
        <is>
          <t>QA Tester</t>
        </is>
      </c>
      <c r="G31" s="68" t="inlineStr">
        <is>
          <t>HIGH</t>
        </is>
      </c>
      <c r="H31" s="69" t="inlineStr">
        <is>
          <t>COMPLETE</t>
        </is>
      </c>
      <c r="I31" s="73" t="inlineStr">
        <is>
          <t>19/02/25</t>
        </is>
      </c>
      <c r="J31" s="73" t="inlineStr">
        <is>
          <t>27/02/25</t>
        </is>
      </c>
      <c r="K31" s="73" t="inlineStr">
        <is>
          <t>19/02/25</t>
        </is>
      </c>
      <c r="L31" s="73" t="inlineStr">
        <is>
          <t>27/02/25</t>
        </is>
      </c>
      <c r="M31" s="74" t="n">
        <v>1</v>
      </c>
      <c r="N31" s="73" t="inlineStr">
        <is>
          <t>T-019</t>
        </is>
      </c>
      <c r="O31" s="23" t="inlineStr">
        <is>
          <t>Integration Test Report — Phase 2</t>
        </is>
      </c>
      <c r="P31" s="23" t="n"/>
    </row>
    <row r="32" ht="22" customHeight="1">
      <c r="A32" s="45" t="n"/>
      <c r="B32" s="66" t="inlineStr">
        <is>
          <t>T-021</t>
        </is>
      </c>
      <c r="C32" s="66" t="inlineStr">
        <is>
          <t>3.11</t>
        </is>
      </c>
      <c r="D32" s="67" t="inlineStr">
        <is>
          <t>Phase 3 — Development</t>
        </is>
      </c>
      <c r="E32" s="17" t="inlineStr">
        <is>
          <t>Integration sign-off</t>
        </is>
      </c>
      <c r="F32" s="67" t="inlineStr">
        <is>
          <t>Project Coordinator</t>
        </is>
      </c>
      <c r="G32" s="68" t="inlineStr">
        <is>
          <t>HIGH</t>
        </is>
      </c>
      <c r="H32" s="69" t="inlineStr">
        <is>
          <t>COMPLETE</t>
        </is>
      </c>
      <c r="I32" s="70" t="inlineStr">
        <is>
          <t>28/02/25</t>
        </is>
      </c>
      <c r="J32" s="70" t="inlineStr">
        <is>
          <t>03/03/25</t>
        </is>
      </c>
      <c r="K32" s="70" t="inlineStr">
        <is>
          <t>28/02/25</t>
        </is>
      </c>
      <c r="L32" s="70" t="inlineStr">
        <is>
          <t>03/03/25</t>
        </is>
      </c>
      <c r="M32" s="71" t="n">
        <v>1</v>
      </c>
      <c r="N32" s="70" t="inlineStr">
        <is>
          <t>T-020</t>
        </is>
      </c>
      <c r="O32" s="17" t="inlineStr">
        <is>
          <t>Integration Sign-Off Form — Signed</t>
        </is>
      </c>
      <c r="P32" s="17" t="n"/>
    </row>
    <row r="33" ht="22" customHeight="1">
      <c r="A33" s="45" t="n"/>
      <c r="B33" s="72" t="inlineStr">
        <is>
          <t>T-022</t>
        </is>
      </c>
      <c r="C33" s="72" t="inlineStr">
        <is>
          <t>3.12</t>
        </is>
      </c>
      <c r="D33" s="53" t="inlineStr">
        <is>
          <t>Phase 3 — Development</t>
        </is>
      </c>
      <c r="E33" s="23" t="inlineStr">
        <is>
          <t>Server provisioning</t>
        </is>
      </c>
      <c r="F33" s="53" t="inlineStr">
        <is>
          <t>Project Coordinator</t>
        </is>
      </c>
      <c r="G33" s="75" t="inlineStr">
        <is>
          <t>MEDIUM</t>
        </is>
      </c>
      <c r="H33" s="69" t="inlineStr">
        <is>
          <t>COMPLETE</t>
        </is>
      </c>
      <c r="I33" s="73" t="inlineStr">
        <is>
          <t>05/02/25</t>
        </is>
      </c>
      <c r="J33" s="73" t="inlineStr">
        <is>
          <t>11/02/25</t>
        </is>
      </c>
      <c r="K33" s="73" t="inlineStr">
        <is>
          <t>05/02/25</t>
        </is>
      </c>
      <c r="L33" s="73" t="inlineStr">
        <is>
          <t>11/02/25</t>
        </is>
      </c>
      <c r="M33" s="74" t="n">
        <v>1</v>
      </c>
      <c r="N33" s="73" t="inlineStr">
        <is>
          <t>T-010</t>
        </is>
      </c>
      <c r="O33" s="23" t="inlineStr">
        <is>
          <t>Server Provisioning Confirmation</t>
        </is>
      </c>
      <c r="P33" s="23" t="n"/>
    </row>
    <row r="34" ht="22" customHeight="1">
      <c r="A34" s="45" t="n"/>
      <c r="B34" s="66" t="inlineStr">
        <is>
          <t>T-023</t>
        </is>
      </c>
      <c r="C34" s="66" t="inlineStr">
        <is>
          <t>3.13</t>
        </is>
      </c>
      <c r="D34" s="67" t="inlineStr">
        <is>
          <t>Phase 3 — Development</t>
        </is>
      </c>
      <c r="E34" s="17" t="inlineStr">
        <is>
          <t>Environment configuration</t>
        </is>
      </c>
      <c r="F34" s="67" t="inlineStr">
        <is>
          <t>Project Coordinator</t>
        </is>
      </c>
      <c r="G34" s="75" t="inlineStr">
        <is>
          <t>MEDIUM</t>
        </is>
      </c>
      <c r="H34" s="69" t="inlineStr">
        <is>
          <t>COMPLETE</t>
        </is>
      </c>
      <c r="I34" s="70" t="inlineStr">
        <is>
          <t>12/02/25</t>
        </is>
      </c>
      <c r="J34" s="70" t="inlineStr">
        <is>
          <t>18/02/25</t>
        </is>
      </c>
      <c r="K34" s="70" t="inlineStr">
        <is>
          <t>12/02/25</t>
        </is>
      </c>
      <c r="L34" s="70" t="inlineStr">
        <is>
          <t>18/02/25</t>
        </is>
      </c>
      <c r="M34" s="71" t="n">
        <v>1</v>
      </c>
      <c r="N34" s="70" t="inlineStr">
        <is>
          <t>T-022</t>
        </is>
      </c>
      <c r="O34" s="17" t="inlineStr">
        <is>
          <t>Environment Configuration Record</t>
        </is>
      </c>
      <c r="P34" s="17" t="n"/>
    </row>
    <row r="35" ht="22" customHeight="1">
      <c r="A35" s="45" t="n"/>
      <c r="B35" s="72" t="inlineStr">
        <is>
          <t>T-024</t>
        </is>
      </c>
      <c r="C35" s="72" t="inlineStr">
        <is>
          <t>3.14</t>
        </is>
      </c>
      <c r="D35" s="53" t="inlineStr">
        <is>
          <t>Phase 3 — Development</t>
        </is>
      </c>
      <c r="E35" s="23" t="inlineStr">
        <is>
          <t>Deployment checklist prepared</t>
        </is>
      </c>
      <c r="F35" s="53" t="inlineStr">
        <is>
          <t>Project Coordinator</t>
        </is>
      </c>
      <c r="G35" s="75" t="inlineStr">
        <is>
          <t>MEDIUM</t>
        </is>
      </c>
      <c r="H35" s="69" t="inlineStr">
        <is>
          <t>COMPLETE</t>
        </is>
      </c>
      <c r="I35" s="73" t="inlineStr">
        <is>
          <t>19/02/25</t>
        </is>
      </c>
      <c r="J35" s="73" t="inlineStr">
        <is>
          <t>21/02/25</t>
        </is>
      </c>
      <c r="K35" s="73" t="inlineStr">
        <is>
          <t>19/02/25</t>
        </is>
      </c>
      <c r="L35" s="73" t="inlineStr">
        <is>
          <t>21/02/25</t>
        </is>
      </c>
      <c r="M35" s="74" t="n">
        <v>1</v>
      </c>
      <c r="N35" s="73" t="inlineStr">
        <is>
          <t>T-023</t>
        </is>
      </c>
      <c r="O35" s="23" t="inlineStr">
        <is>
          <t>Deployment Checklist v1.0</t>
        </is>
      </c>
      <c r="P35" s="23" t="n"/>
    </row>
    <row r="36" ht="22" customHeight="1">
      <c r="A36" s="45" t="n"/>
      <c r="B36" s="66" t="inlineStr">
        <is>
          <t>T-025</t>
        </is>
      </c>
      <c r="C36" s="66" t="inlineStr">
        <is>
          <t>3.15</t>
        </is>
      </c>
      <c r="D36" s="67" t="inlineStr">
        <is>
          <t>Phase 3 — Development</t>
        </is>
      </c>
      <c r="E36" s="17" t="inlineStr">
        <is>
          <t>Deployment readiness confirmed</t>
        </is>
      </c>
      <c r="F36" s="67" t="inlineStr">
        <is>
          <t>Project Coordinator</t>
        </is>
      </c>
      <c r="G36" s="75" t="inlineStr">
        <is>
          <t>MEDIUM</t>
        </is>
      </c>
      <c r="H36" s="75" t="inlineStr">
        <is>
          <t>IN PROGRESS</t>
        </is>
      </c>
      <c r="I36" s="70" t="inlineStr">
        <is>
          <t>24/02/25</t>
        </is>
      </c>
      <c r="J36" s="70" t="inlineStr">
        <is>
          <t>25/02/25</t>
        </is>
      </c>
      <c r="K36" s="70" t="inlineStr">
        <is>
          <t>24/02/25</t>
        </is>
      </c>
      <c r="L36" s="70" t="n"/>
      <c r="M36" s="71" t="n">
        <v>0.5</v>
      </c>
      <c r="N36" s="70" t="inlineStr">
        <is>
          <t>T-024</t>
        </is>
      </c>
      <c r="O36" s="17" t="inlineStr">
        <is>
          <t>Deployment Readiness Confirmation</t>
        </is>
      </c>
      <c r="P36" s="17" t="n"/>
    </row>
    <row r="37" ht="22" customHeight="1">
      <c r="A37" s="45" t="n"/>
      <c r="B37" s="72" t="inlineStr">
        <is>
          <t>T-026</t>
        </is>
      </c>
      <c r="C37" s="72" t="inlineStr">
        <is>
          <t>4.1</t>
        </is>
      </c>
      <c r="D37" s="53" t="inlineStr">
        <is>
          <t>Phase 4 — Testing</t>
        </is>
      </c>
      <c r="E37" s="23" t="inlineStr">
        <is>
          <t>UAT plan prepared and distributed to client</t>
        </is>
      </c>
      <c r="F37" s="53" t="inlineStr">
        <is>
          <t>Project Coordinator</t>
        </is>
      </c>
      <c r="G37" s="68" t="inlineStr">
        <is>
          <t>HIGH</t>
        </is>
      </c>
      <c r="H37" s="76" t="inlineStr">
        <is>
          <t>NOT STARTED</t>
        </is>
      </c>
      <c r="I37" s="73" t="inlineStr">
        <is>
          <t>07/03/25</t>
        </is>
      </c>
      <c r="J37" s="73" t="inlineStr">
        <is>
          <t>10/03/25</t>
        </is>
      </c>
      <c r="K37" s="73" t="n"/>
      <c r="L37" s="73" t="n"/>
      <c r="M37" s="74" t="n">
        <v>0</v>
      </c>
      <c r="N37" s="73" t="inlineStr">
        <is>
          <t>T-025</t>
        </is>
      </c>
      <c r="O37" s="23" t="inlineStr">
        <is>
          <t>UAT Test Plan v1.0</t>
        </is>
      </c>
      <c r="P37" s="23" t="n"/>
    </row>
    <row r="38" ht="22" customHeight="1">
      <c r="A38" s="45" t="n"/>
      <c r="B38" s="66" t="inlineStr">
        <is>
          <t>T-027</t>
        </is>
      </c>
      <c r="C38" s="66" t="inlineStr">
        <is>
          <t>4.2</t>
        </is>
      </c>
      <c r="D38" s="67" t="inlineStr">
        <is>
          <t>Phase 4 — Testing</t>
        </is>
      </c>
      <c r="E38" s="17" t="inlineStr">
        <is>
          <t>UAT conducted with client stakeholders</t>
        </is>
      </c>
      <c r="F38" s="67" t="inlineStr">
        <is>
          <t>QA Tester</t>
        </is>
      </c>
      <c r="G38" s="68" t="inlineStr">
        <is>
          <t>HIGH</t>
        </is>
      </c>
      <c r="H38" s="76" t="inlineStr">
        <is>
          <t>NOT STARTED</t>
        </is>
      </c>
      <c r="I38" s="70" t="inlineStr">
        <is>
          <t>11/03/25</t>
        </is>
      </c>
      <c r="J38" s="70" t="inlineStr">
        <is>
          <t>19/03/25</t>
        </is>
      </c>
      <c r="K38" s="70" t="n"/>
      <c r="L38" s="70" t="n"/>
      <c r="M38" s="71" t="n">
        <v>0</v>
      </c>
      <c r="N38" s="70" t="inlineStr">
        <is>
          <t>T-026</t>
        </is>
      </c>
      <c r="O38" s="17" t="inlineStr">
        <is>
          <t>UAT Test Execution Report</t>
        </is>
      </c>
      <c r="P38" s="17" t="n"/>
    </row>
    <row r="39" ht="22" customHeight="1">
      <c r="A39" s="45" t="n"/>
      <c r="B39" s="72" t="inlineStr">
        <is>
          <t>T-028</t>
        </is>
      </c>
      <c r="C39" s="72" t="inlineStr">
        <is>
          <t>4.3</t>
        </is>
      </c>
      <c r="D39" s="53" t="inlineStr">
        <is>
          <t>Phase 4 — Testing</t>
        </is>
      </c>
      <c r="E39" s="23" t="inlineStr">
        <is>
          <t>UAT defects logged and resolved</t>
        </is>
      </c>
      <c r="F39" s="53" t="inlineStr">
        <is>
          <t>System Developer</t>
        </is>
      </c>
      <c r="G39" s="68" t="inlineStr">
        <is>
          <t>HIGH</t>
        </is>
      </c>
      <c r="H39" s="76" t="inlineStr">
        <is>
          <t>NOT STARTED</t>
        </is>
      </c>
      <c r="I39" s="73" t="inlineStr">
        <is>
          <t>20/03/25</t>
        </is>
      </c>
      <c r="J39" s="73" t="inlineStr">
        <is>
          <t>26/03/25</t>
        </is>
      </c>
      <c r="K39" s="73" t="n"/>
      <c r="L39" s="73" t="n"/>
      <c r="M39" s="74" t="n">
        <v>0</v>
      </c>
      <c r="N39" s="73" t="inlineStr">
        <is>
          <t>T-027</t>
        </is>
      </c>
      <c r="O39" s="23" t="inlineStr">
        <is>
          <t>UAT Defect Log and Resolution Record</t>
        </is>
      </c>
      <c r="P39" s="23" t="n"/>
    </row>
    <row r="40" ht="22" customHeight="1">
      <c r="A40" s="45" t="n"/>
      <c r="B40" s="66" t="inlineStr">
        <is>
          <t>T-029</t>
        </is>
      </c>
      <c r="C40" s="66" t="inlineStr">
        <is>
          <t>4.4</t>
        </is>
      </c>
      <c r="D40" s="67" t="inlineStr">
        <is>
          <t>Phase 4 — Testing</t>
        </is>
      </c>
      <c r="E40" s="17" t="inlineStr">
        <is>
          <t>UAT sign-off by client</t>
        </is>
      </c>
      <c r="F40" s="67" t="inlineStr">
        <is>
          <t>Project Coordinator</t>
        </is>
      </c>
      <c r="G40" s="68" t="inlineStr">
        <is>
          <t>HIGH</t>
        </is>
      </c>
      <c r="H40" s="76" t="inlineStr">
        <is>
          <t>NOT STARTED</t>
        </is>
      </c>
      <c r="I40" s="70" t="inlineStr">
        <is>
          <t>26/03/25</t>
        </is>
      </c>
      <c r="J40" s="70" t="inlineStr">
        <is>
          <t>26/03/25</t>
        </is>
      </c>
      <c r="K40" s="70" t="n"/>
      <c r="L40" s="70" t="n"/>
      <c r="M40" s="71" t="n">
        <v>0</v>
      </c>
      <c r="N40" s="70" t="inlineStr">
        <is>
          <t>T-028</t>
        </is>
      </c>
      <c r="O40" s="17" t="inlineStr">
        <is>
          <t>UAT Sign-Off Form — Signed</t>
        </is>
      </c>
      <c r="P40" s="17" t="inlineStr">
        <is>
          <t>Milestone</t>
        </is>
      </c>
    </row>
    <row r="41" ht="22" customHeight="1">
      <c r="A41" s="45" t="n"/>
      <c r="B41" s="72" t="inlineStr">
        <is>
          <t>T-030</t>
        </is>
      </c>
      <c r="C41" s="72" t="inlineStr">
        <is>
          <t>4.5</t>
        </is>
      </c>
      <c r="D41" s="53" t="inlineStr">
        <is>
          <t>Phase 4 — Testing</t>
        </is>
      </c>
      <c r="E41" s="23" t="inlineStr">
        <is>
          <t>FAT conducted with client stakeholders</t>
        </is>
      </c>
      <c r="F41" s="53" t="inlineStr">
        <is>
          <t>QA Tester</t>
        </is>
      </c>
      <c r="G41" s="68" t="inlineStr">
        <is>
          <t>HIGH</t>
        </is>
      </c>
      <c r="H41" s="76" t="inlineStr">
        <is>
          <t>NOT STARTED</t>
        </is>
      </c>
      <c r="I41" s="73" t="inlineStr">
        <is>
          <t>27/03/25</t>
        </is>
      </c>
      <c r="J41" s="73" t="inlineStr">
        <is>
          <t>02/04/25</t>
        </is>
      </c>
      <c r="K41" s="73" t="n"/>
      <c r="L41" s="73" t="n"/>
      <c r="M41" s="74" t="n">
        <v>0</v>
      </c>
      <c r="N41" s="73" t="inlineStr">
        <is>
          <t>T-029</t>
        </is>
      </c>
      <c r="O41" s="23" t="inlineStr">
        <is>
          <t>FAT Test Execution Report</t>
        </is>
      </c>
      <c r="P41" s="23" t="n"/>
    </row>
    <row r="42" ht="22" customHeight="1">
      <c r="A42" s="45" t="n"/>
      <c r="B42" s="66" t="inlineStr">
        <is>
          <t>T-031</t>
        </is>
      </c>
      <c r="C42" s="66" t="inlineStr">
        <is>
          <t>4.6</t>
        </is>
      </c>
      <c r="D42" s="67" t="inlineStr">
        <is>
          <t>Phase 4 — Testing</t>
        </is>
      </c>
      <c r="E42" s="17" t="inlineStr">
        <is>
          <t>FAT defects logged and resolved</t>
        </is>
      </c>
      <c r="F42" s="67" t="inlineStr">
        <is>
          <t>System Developer</t>
        </is>
      </c>
      <c r="G42" s="68" t="inlineStr">
        <is>
          <t>HIGH</t>
        </is>
      </c>
      <c r="H42" s="76" t="inlineStr">
        <is>
          <t>NOT STARTED</t>
        </is>
      </c>
      <c r="I42" s="70" t="inlineStr">
        <is>
          <t>03/04/25</t>
        </is>
      </c>
      <c r="J42" s="70" t="inlineStr">
        <is>
          <t>07/04/25</t>
        </is>
      </c>
      <c r="K42" s="70" t="n"/>
      <c r="L42" s="70" t="n"/>
      <c r="M42" s="71" t="n">
        <v>0</v>
      </c>
      <c r="N42" s="70" t="inlineStr">
        <is>
          <t>T-030</t>
        </is>
      </c>
      <c r="O42" s="17" t="inlineStr">
        <is>
          <t>FAT Defect Log and Resolution Record</t>
        </is>
      </c>
      <c r="P42" s="17" t="n"/>
    </row>
    <row r="43" ht="22" customHeight="1">
      <c r="A43" s="45" t="n"/>
      <c r="B43" s="72" t="inlineStr">
        <is>
          <t>T-032</t>
        </is>
      </c>
      <c r="C43" s="72" t="inlineStr">
        <is>
          <t>4.7</t>
        </is>
      </c>
      <c r="D43" s="53" t="inlineStr">
        <is>
          <t>Phase 4 — Testing</t>
        </is>
      </c>
      <c r="E43" s="23" t="inlineStr">
        <is>
          <t>FAT sign-off by client</t>
        </is>
      </c>
      <c r="F43" s="53" t="inlineStr">
        <is>
          <t>Project Coordinator</t>
        </is>
      </c>
      <c r="G43" s="68" t="inlineStr">
        <is>
          <t>HIGH</t>
        </is>
      </c>
      <c r="H43" s="76" t="inlineStr">
        <is>
          <t>NOT STARTED</t>
        </is>
      </c>
      <c r="I43" s="73" t="inlineStr">
        <is>
          <t>07/04/25</t>
        </is>
      </c>
      <c r="J43" s="73" t="inlineStr">
        <is>
          <t>07/04/25</t>
        </is>
      </c>
      <c r="K43" s="73" t="n"/>
      <c r="L43" s="73" t="n"/>
      <c r="M43" s="74" t="n">
        <v>0</v>
      </c>
      <c r="N43" s="73" t="inlineStr">
        <is>
          <t>T-031</t>
        </is>
      </c>
      <c r="O43" s="23" t="inlineStr">
        <is>
          <t>FAT Sign-Off Form — Signed</t>
        </is>
      </c>
      <c r="P43" s="23" t="inlineStr">
        <is>
          <t>Milestone</t>
        </is>
      </c>
    </row>
    <row r="44" ht="22" customHeight="1">
      <c r="A44" s="45" t="n"/>
      <c r="B44" s="66" t="inlineStr">
        <is>
          <t>T-033</t>
        </is>
      </c>
      <c r="C44" s="66" t="inlineStr">
        <is>
          <t>4.8</t>
        </is>
      </c>
      <c r="D44" s="67" t="inlineStr">
        <is>
          <t>Phase 4 — Testing</t>
        </is>
      </c>
      <c r="E44" s="17" t="inlineStr">
        <is>
          <t>Go-Live readiness checklist completed</t>
        </is>
      </c>
      <c r="F44" s="67" t="inlineStr">
        <is>
          <t>Project Coordinator</t>
        </is>
      </c>
      <c r="G44" s="68" t="inlineStr">
        <is>
          <t>HIGH</t>
        </is>
      </c>
      <c r="H44" s="76" t="inlineStr">
        <is>
          <t>NOT STARTED</t>
        </is>
      </c>
      <c r="I44" s="70" t="inlineStr">
        <is>
          <t>08/04/25</t>
        </is>
      </c>
      <c r="J44" s="70" t="inlineStr">
        <is>
          <t>09/04/25</t>
        </is>
      </c>
      <c r="K44" s="70" t="n"/>
      <c r="L44" s="70" t="n"/>
      <c r="M44" s="71" t="n">
        <v>0</v>
      </c>
      <c r="N44" s="70" t="inlineStr">
        <is>
          <t>T-032</t>
        </is>
      </c>
      <c r="O44" s="17" t="inlineStr">
        <is>
          <t>Go-Live Readiness Checklist — Completed</t>
        </is>
      </c>
      <c r="P44" s="17" t="n"/>
    </row>
    <row r="45" ht="22" customHeight="1">
      <c r="A45" s="45" t="n"/>
      <c r="B45" s="72" t="inlineStr">
        <is>
          <t>T-034</t>
        </is>
      </c>
      <c r="C45" s="72" t="inlineStr">
        <is>
          <t>5.1</t>
        </is>
      </c>
      <c r="D45" s="53" t="inlineStr">
        <is>
          <t>Phase 5 — Close-Out</t>
        </is>
      </c>
      <c r="E45" s="23" t="inlineStr">
        <is>
          <t>Go-Live deployment executed</t>
        </is>
      </c>
      <c r="F45" s="53" t="inlineStr">
        <is>
          <t>Project Coordinator</t>
        </is>
      </c>
      <c r="G45" s="68" t="inlineStr">
        <is>
          <t>HIGH</t>
        </is>
      </c>
      <c r="H45" s="76" t="inlineStr">
        <is>
          <t>NOT STARTED</t>
        </is>
      </c>
      <c r="I45" s="73" t="inlineStr">
        <is>
          <t>10/04/25</t>
        </is>
      </c>
      <c r="J45" s="73" t="inlineStr">
        <is>
          <t>10/04/25</t>
        </is>
      </c>
      <c r="K45" s="73" t="n"/>
      <c r="L45" s="73" t="n"/>
      <c r="M45" s="74" t="n">
        <v>0</v>
      </c>
      <c r="N45" s="73" t="inlineStr">
        <is>
          <t>T-033</t>
        </is>
      </c>
      <c r="O45" s="23" t="inlineStr">
        <is>
          <t>Go-Live Deployment Confirmation</t>
        </is>
      </c>
      <c r="P45" s="23" t="inlineStr">
        <is>
          <t>Milestone</t>
        </is>
      </c>
    </row>
    <row r="46" ht="22" customHeight="1">
      <c r="A46" s="45" t="n"/>
      <c r="B46" s="66" t="inlineStr">
        <is>
          <t>T-035</t>
        </is>
      </c>
      <c r="C46" s="66" t="inlineStr">
        <is>
          <t>5.2</t>
        </is>
      </c>
      <c r="D46" s="67" t="inlineStr">
        <is>
          <t>Phase 5 — Close-Out</t>
        </is>
      </c>
      <c r="E46" s="17" t="inlineStr">
        <is>
          <t>Post-deployment monitoring</t>
        </is>
      </c>
      <c r="F46" s="67" t="inlineStr">
        <is>
          <t>Project Coordinator</t>
        </is>
      </c>
      <c r="G46" s="68" t="inlineStr">
        <is>
          <t>HIGH</t>
        </is>
      </c>
      <c r="H46" s="76" t="inlineStr">
        <is>
          <t>NOT STARTED</t>
        </is>
      </c>
      <c r="I46" s="70" t="inlineStr">
        <is>
          <t>11/04/25</t>
        </is>
      </c>
      <c r="J46" s="70" t="inlineStr">
        <is>
          <t>17/04/25</t>
        </is>
      </c>
      <c r="K46" s="70" t="n"/>
      <c r="L46" s="70" t="n"/>
      <c r="M46" s="71" t="n">
        <v>0</v>
      </c>
      <c r="N46" s="70" t="inlineStr">
        <is>
          <t>T-034</t>
        </is>
      </c>
      <c r="O46" s="17" t="inlineStr">
        <is>
          <t>Post-Deployment Monitoring Report</t>
        </is>
      </c>
      <c r="P46" s="17" t="n"/>
    </row>
    <row r="47" ht="22" customHeight="1">
      <c r="A47" s="45" t="n"/>
      <c r="B47" s="72" t="inlineStr">
        <is>
          <t>T-036</t>
        </is>
      </c>
      <c r="C47" s="72" t="inlineStr">
        <is>
          <t>5.3</t>
        </is>
      </c>
      <c r="D47" s="53" t="inlineStr">
        <is>
          <t>Phase 5 — Close-Out</t>
        </is>
      </c>
      <c r="E47" s="23" t="inlineStr">
        <is>
          <t>Handover documentation prepared</t>
        </is>
      </c>
      <c r="F47" s="53" t="inlineStr">
        <is>
          <t>Project Coordinator</t>
        </is>
      </c>
      <c r="G47" s="75" t="inlineStr">
        <is>
          <t>MEDIUM</t>
        </is>
      </c>
      <c r="H47" s="76" t="inlineStr">
        <is>
          <t>NOT STARTED</t>
        </is>
      </c>
      <c r="I47" s="73" t="inlineStr">
        <is>
          <t>11/04/25</t>
        </is>
      </c>
      <c r="J47" s="73" t="inlineStr">
        <is>
          <t>15/04/25</t>
        </is>
      </c>
      <c r="K47" s="73" t="n"/>
      <c r="L47" s="73" t="n"/>
      <c r="M47" s="74" t="n">
        <v>0</v>
      </c>
      <c r="N47" s="73" t="inlineStr">
        <is>
          <t>T-034</t>
        </is>
      </c>
      <c r="O47" s="23" t="inlineStr">
        <is>
          <t>Handover Documentation Package</t>
        </is>
      </c>
      <c r="P47" s="23" t="n"/>
    </row>
    <row r="48" ht="22" customHeight="1">
      <c r="A48" s="45" t="n"/>
      <c r="B48" s="66" t="inlineStr">
        <is>
          <t>T-037</t>
        </is>
      </c>
      <c r="C48" s="66" t="inlineStr">
        <is>
          <t>5.4</t>
        </is>
      </c>
      <c r="D48" s="67" t="inlineStr">
        <is>
          <t>Phase 5 — Close-Out</t>
        </is>
      </c>
      <c r="E48" s="17" t="inlineStr">
        <is>
          <t>Client training conducted</t>
        </is>
      </c>
      <c r="F48" s="67" t="inlineStr">
        <is>
          <t>Business Analyst</t>
        </is>
      </c>
      <c r="G48" s="75" t="inlineStr">
        <is>
          <t>MEDIUM</t>
        </is>
      </c>
      <c r="H48" s="76" t="inlineStr">
        <is>
          <t>NOT STARTED</t>
        </is>
      </c>
      <c r="I48" s="70" t="inlineStr">
        <is>
          <t>16/04/25</t>
        </is>
      </c>
      <c r="J48" s="70" t="inlineStr">
        <is>
          <t>17/04/25</t>
        </is>
      </c>
      <c r="K48" s="70" t="n"/>
      <c r="L48" s="70" t="n"/>
      <c r="M48" s="71" t="n">
        <v>0</v>
      </c>
      <c r="N48" s="70" t="inlineStr">
        <is>
          <t>T-036</t>
        </is>
      </c>
      <c r="O48" s="17" t="inlineStr">
        <is>
          <t>Training Completion Record and Attendance</t>
        </is>
      </c>
      <c r="P48" s="17" t="n"/>
    </row>
    <row r="49" ht="22" customHeight="1">
      <c r="A49" s="45" t="n"/>
      <c r="B49" s="72" t="inlineStr">
        <is>
          <t>T-038</t>
        </is>
      </c>
      <c r="C49" s="72" t="inlineStr">
        <is>
          <t>5.5</t>
        </is>
      </c>
      <c r="D49" s="53" t="inlineStr">
        <is>
          <t>Phase 5 — Close-Out</t>
        </is>
      </c>
      <c r="E49" s="23" t="inlineStr">
        <is>
          <t>Project close-out report submitted</t>
        </is>
      </c>
      <c r="F49" s="53" t="inlineStr">
        <is>
          <t>Project Coordinator</t>
        </is>
      </c>
      <c r="G49" s="68" t="inlineStr">
        <is>
          <t>HIGH</t>
        </is>
      </c>
      <c r="H49" s="76" t="inlineStr">
        <is>
          <t>NOT STARTED</t>
        </is>
      </c>
      <c r="I49" s="73" t="inlineStr">
        <is>
          <t>18/04/25</t>
        </is>
      </c>
      <c r="J49" s="73" t="inlineStr">
        <is>
          <t>21/04/25</t>
        </is>
      </c>
      <c r="K49" s="73" t="n"/>
      <c r="L49" s="73" t="n"/>
      <c r="M49" s="74" t="n">
        <v>0</v>
      </c>
      <c r="N49" s="73" t="inlineStr">
        <is>
          <t>T-037</t>
        </is>
      </c>
      <c r="O49" s="23" t="inlineStr">
        <is>
          <t>Project Close-Out Report v1.0</t>
        </is>
      </c>
      <c r="P49" s="23" t="n"/>
    </row>
    <row r="50" ht="22" customHeight="1">
      <c r="A50" s="45" t="n"/>
      <c r="B50" s="66" t="inlineStr">
        <is>
          <t>T-039</t>
        </is>
      </c>
      <c r="C50" s="66" t="inlineStr">
        <is>
          <t>5.6</t>
        </is>
      </c>
      <c r="D50" s="67" t="inlineStr">
        <is>
          <t>Phase 5 — Close-Out</t>
        </is>
      </c>
      <c r="E50" s="17" t="inlineStr">
        <is>
          <t>Project formally closed</t>
        </is>
      </c>
      <c r="F50" s="67" t="inlineStr">
        <is>
          <t>Project Coordinator</t>
        </is>
      </c>
      <c r="G50" s="68" t="inlineStr">
        <is>
          <t>HIGH</t>
        </is>
      </c>
      <c r="H50" s="76" t="inlineStr">
        <is>
          <t>NOT STARTED</t>
        </is>
      </c>
      <c r="I50" s="70" t="inlineStr">
        <is>
          <t>22/04/25</t>
        </is>
      </c>
      <c r="J50" s="70" t="inlineStr">
        <is>
          <t>22/04/25</t>
        </is>
      </c>
      <c r="K50" s="70" t="n"/>
      <c r="L50" s="70" t="n"/>
      <c r="M50" s="71" t="n">
        <v>0</v>
      </c>
      <c r="N50" s="70" t="inlineStr">
        <is>
          <t>T-038</t>
        </is>
      </c>
      <c r="O50" s="17" t="inlineStr">
        <is>
          <t>Project Closure Sign-Off — Formally Closed</t>
        </is>
      </c>
      <c r="P50" s="17" t="inlineStr">
        <is>
          <t>Milestone</t>
        </is>
      </c>
    </row>
    <row r="51" ht="22" customHeight="1">
      <c r="A51" s="45" t="n"/>
      <c r="B51" s="77" t="n"/>
      <c r="C51" s="77" t="n"/>
      <c r="D51" s="78" t="n"/>
      <c r="E51" s="79" t="n"/>
      <c r="F51" s="78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9" t="n"/>
      <c r="P51" s="79" t="n"/>
    </row>
    <row r="52" ht="22" customHeight="1">
      <c r="A52" s="45" t="n"/>
      <c r="B52" s="80" t="n"/>
      <c r="C52" s="80" t="n"/>
      <c r="D52" s="81" t="n"/>
      <c r="E52" s="82" t="n"/>
      <c r="F52" s="81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2" t="n"/>
      <c r="P52" s="82" t="n"/>
    </row>
    <row r="53" ht="22" customHeight="1">
      <c r="A53" s="45" t="n"/>
      <c r="B53" s="77" t="n"/>
      <c r="C53" s="77" t="n"/>
      <c r="D53" s="78" t="n"/>
      <c r="E53" s="79" t="n"/>
      <c r="F53" s="78" t="n"/>
      <c r="G53" s="77" t="n"/>
      <c r="H53" s="77" t="n"/>
      <c r="I53" s="77" t="n"/>
      <c r="J53" s="77" t="n"/>
      <c r="K53" s="77" t="n"/>
      <c r="L53" s="77" t="n"/>
      <c r="M53" s="77" t="n"/>
      <c r="N53" s="77" t="n"/>
      <c r="O53" s="79" t="n"/>
      <c r="P53" s="79" t="n"/>
    </row>
    <row r="54" ht="22" customHeight="1">
      <c r="A54" s="45" t="n"/>
      <c r="B54" s="80" t="n"/>
      <c r="C54" s="80" t="n"/>
      <c r="D54" s="81" t="n"/>
      <c r="E54" s="82" t="n"/>
      <c r="F54" s="81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2" t="n"/>
      <c r="P54" s="82" t="n"/>
    </row>
    <row r="55" ht="22" customHeight="1">
      <c r="A55" s="45" t="n"/>
      <c r="B55" s="77" t="n"/>
      <c r="C55" s="77" t="n"/>
      <c r="D55" s="78" t="n"/>
      <c r="E55" s="79" t="n"/>
      <c r="F55" s="78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9" t="n"/>
      <c r="P55" s="79" t="n"/>
    </row>
    <row r="56" ht="22" customHeight="1">
      <c r="A56" s="45" t="n"/>
      <c r="B56" s="80" t="n"/>
      <c r="C56" s="80" t="n"/>
      <c r="D56" s="81" t="n"/>
      <c r="E56" s="82" t="n"/>
      <c r="F56" s="81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2" t="n"/>
      <c r="P56" s="82" t="n"/>
    </row>
    <row r="57" ht="22" customHeight="1">
      <c r="A57" s="45" t="n"/>
      <c r="B57" s="77" t="n"/>
      <c r="C57" s="77" t="n"/>
      <c r="D57" s="78" t="n"/>
      <c r="E57" s="79" t="n"/>
      <c r="F57" s="78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9" t="n"/>
      <c r="P57" s="79" t="n"/>
    </row>
    <row r="58" ht="22" customHeight="1">
      <c r="A58" s="45" t="n"/>
      <c r="B58" s="80" t="n"/>
      <c r="C58" s="80" t="n"/>
      <c r="D58" s="81" t="n"/>
      <c r="E58" s="82" t="n"/>
      <c r="F58" s="81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2" t="n"/>
      <c r="P58" s="82" t="n"/>
    </row>
    <row r="59" ht="22" customHeight="1">
      <c r="A59" s="45" t="n"/>
      <c r="B59" s="77" t="n"/>
      <c r="C59" s="77" t="n"/>
      <c r="D59" s="78" t="n"/>
      <c r="E59" s="79" t="n"/>
      <c r="F59" s="78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9" t="n"/>
      <c r="P59" s="79" t="n"/>
    </row>
    <row r="60" ht="22" customHeight="1">
      <c r="A60" s="45" t="n"/>
      <c r="B60" s="80" t="n"/>
      <c r="C60" s="80" t="n"/>
      <c r="D60" s="81" t="n"/>
      <c r="E60" s="82" t="n"/>
      <c r="F60" s="81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2" t="n"/>
      <c r="P60" s="82" t="n"/>
    </row>
    <row r="61" ht="22" customHeight="1">
      <c r="A61" s="45" t="n"/>
      <c r="B61" s="77" t="n"/>
      <c r="C61" s="77" t="n"/>
      <c r="D61" s="78" t="n"/>
      <c r="E61" s="79" t="n"/>
      <c r="F61" s="78" t="n"/>
      <c r="G61" s="77" t="n"/>
      <c r="H61" s="77" t="n"/>
      <c r="I61" s="77" t="n"/>
      <c r="J61" s="77" t="n"/>
      <c r="K61" s="77" t="n"/>
      <c r="L61" s="77" t="n"/>
      <c r="M61" s="77" t="n"/>
      <c r="N61" s="77" t="n"/>
      <c r="O61" s="79" t="n"/>
      <c r="P61" s="79" t="n"/>
    </row>
  </sheetData>
  <mergeCells count="20">
    <mergeCell ref="B2:P2"/>
    <mergeCell ref="N5:P5"/>
    <mergeCell ref="H9:I9"/>
    <mergeCell ref="J9:K9"/>
    <mergeCell ref="L8:M8"/>
    <mergeCell ref="B8:C8"/>
    <mergeCell ref="N8:O8"/>
    <mergeCell ref="F8:G8"/>
    <mergeCell ref="G5:H5"/>
    <mergeCell ref="B4:P4"/>
    <mergeCell ref="B9:C9"/>
    <mergeCell ref="D9:E9"/>
    <mergeCell ref="F9:G9"/>
    <mergeCell ref="L9:M9"/>
    <mergeCell ref="D8:E8"/>
    <mergeCell ref="N9:O9"/>
    <mergeCell ref="B7:P7"/>
    <mergeCell ref="C5:E5"/>
    <mergeCell ref="H8:I8"/>
    <mergeCell ref="J8:K8"/>
  </mergeCells>
  <pageMargins left="0.3" right="0.3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2" customWidth="1" min="4" max="4"/>
  </cols>
  <sheetData>
    <row r="2" ht="30" customHeight="1">
      <c r="B2" s="32" t="inlineStr">
        <is>
          <t>HOW TO USE THIS TEMPLATE</t>
        </is>
      </c>
    </row>
    <row r="4" ht="20" customHeight="1">
      <c r="B4" s="33" t="inlineStr">
        <is>
          <t>DOCUMENT CONTROL</t>
        </is>
      </c>
      <c r="C4" s="83" t="n"/>
    </row>
    <row r="5" ht="45" customHeight="1">
      <c r="B5" s="34" t="inlineStr">
        <is>
          <t>Fill in Project Name, Project Manager, Document ID (e.g. PMO-TT-001), Version, and Last Updated date. Increment version each time the tracker is significantly revised.</t>
        </is>
      </c>
      <c r="C5" s="83" t="n"/>
    </row>
    <row r="7" ht="20" customHeight="1">
      <c r="B7" s="33" t="inlineStr">
        <is>
          <t>TASK SUMMARY CARDS</t>
        </is>
      </c>
      <c r="C7" s="83" t="n"/>
    </row>
    <row r="8" ht="45" customHeight="1">
      <c r="B8" s="34" t="inlineStr">
        <is>
          <t>Auto-calculated from your task list. No manual input needed. Total tasks, complete, in progress, not started, on hold, % done, and high priority count all update automatically when you update task statuses.</t>
        </is>
      </c>
      <c r="C8" s="83" t="n"/>
    </row>
    <row r="10" ht="20" customHeight="1">
      <c r="B10" s="33" t="inlineStr">
        <is>
          <t>TASK ID</t>
        </is>
      </c>
      <c r="C10" s="83" t="n"/>
    </row>
    <row r="11" ht="45" customHeight="1">
      <c r="B11" s="34" t="inlineStr">
        <is>
          <t>Use format T-001, T-002, T-003. Sequential and consistent. Used for cross-referencing in Dependencies column, RAID log, and meeting minutes.</t>
        </is>
      </c>
      <c r="C11" s="83" t="n"/>
    </row>
    <row r="13" ht="20" customHeight="1">
      <c r="B13" s="33" t="inlineStr">
        <is>
          <t>WBS</t>
        </is>
      </c>
      <c r="C13" s="83" t="n"/>
    </row>
    <row r="14" ht="45" customHeight="1">
      <c r="B14" s="34" t="inlineStr">
        <is>
          <t>Work Breakdown Structure code tied to the approved project scope. Format: Phase.Task (e.g. 1.1, 2.3, 3.10). Should match WBS codes in your MS Project schedule and project scope document.</t>
        </is>
      </c>
      <c r="C14" s="83" t="n"/>
    </row>
    <row r="16" ht="20" customHeight="1">
      <c r="B16" s="33" t="inlineStr">
        <is>
          <t>PHASE / WORKSTREAM</t>
        </is>
      </c>
      <c r="C16" s="83" t="n"/>
    </row>
    <row r="17" ht="45" customHeight="1">
      <c r="B17" s="34" t="inlineStr">
        <is>
          <t>Group tasks by project phase (Phase 1 — Initiation, Phase 2 — Planning, etc.). Allows filtering and phase-level progress tracking.</t>
        </is>
      </c>
      <c r="C17" s="83" t="n"/>
    </row>
    <row r="19" ht="20" customHeight="1">
      <c r="B19" s="33" t="inlineStr">
        <is>
          <t>ASSIGNED TO</t>
        </is>
      </c>
      <c r="C19" s="83" t="n"/>
    </row>
    <row r="20" ht="45" customHeight="1">
      <c r="B20" s="34" t="inlineStr">
        <is>
          <t>Enter the name of the person responsible for completing the task. Not a team or department — a named individual. Ownership must be unambiguous.</t>
        </is>
      </c>
      <c r="C20" s="83" t="n"/>
    </row>
    <row r="22" ht="20" customHeight="1">
      <c r="B22" s="33" t="inlineStr">
        <is>
          <t>PRIORITY</t>
        </is>
      </c>
      <c r="C22" s="83" t="n"/>
    </row>
    <row r="23" ht="45" customHeight="1">
      <c r="B23" s="34" t="inlineStr">
        <is>
          <t>HIGH = directly impacts milestone or critical path, must complete on time. MEDIUM = important but has scheduling flexibility. LOW = can be deferred if higher priority tasks need attention.</t>
        </is>
      </c>
      <c r="C23" s="83" t="n"/>
    </row>
    <row r="25" ht="20" customHeight="1">
      <c r="B25" s="33" t="inlineStr">
        <is>
          <t>STATUS</t>
        </is>
      </c>
      <c r="C25" s="83" t="n"/>
    </row>
    <row r="26" ht="45" customHeight="1">
      <c r="B26" s="34" t="inlineStr">
        <is>
          <t>COMPLETE = done and verified. IN PROGRESS = actively being worked on. NOT STARTED = not yet begun. ON HOLD = paused, reason in Remarks. OVERDUE = planned end date passed and task not complete.</t>
        </is>
      </c>
      <c r="C26" s="83" t="n"/>
    </row>
    <row r="28" ht="20" customHeight="1">
      <c r="B28" s="33" t="inlineStr">
        <is>
          <t>PLANNED START / END</t>
        </is>
      </c>
      <c r="C28" s="83" t="n"/>
    </row>
    <row r="29" ht="45" customHeight="1">
      <c r="B29" s="34" t="inlineStr">
        <is>
          <t>Enter from your MS Project baseline schedule. Do not change once set. These are your reference dates for variance tracking.</t>
        </is>
      </c>
      <c r="C29" s="83" t="n"/>
    </row>
    <row r="31" ht="20" customHeight="1">
      <c r="B31" s="33" t="inlineStr">
        <is>
          <t>ACTUAL START / END</t>
        </is>
      </c>
      <c r="C31" s="83" t="n"/>
    </row>
    <row r="32" ht="45" customHeight="1">
      <c r="B32" s="34" t="inlineStr">
        <is>
          <t>Fill in as tasks begin and complete. Leave blank if not yet started. Variance between planned and actual is your schedule slippage indicator.</t>
        </is>
      </c>
      <c r="C32" s="83" t="n"/>
    </row>
    <row r="34" ht="20" customHeight="1">
      <c r="B34" s="33" t="inlineStr">
        <is>
          <t>% COMPLETE</t>
        </is>
      </c>
      <c r="C34" s="83" t="n"/>
    </row>
    <row r="35" ht="45" customHeight="1">
      <c r="B35" s="34" t="inlineStr">
        <is>
          <t>Enter as a decimal (0.0 to 1.0). The KPI card reads this automatically. Be accurate — 0.9 means 90% of the work is done, not 90% of time elapsed.</t>
        </is>
      </c>
      <c r="C35" s="83" t="n"/>
    </row>
    <row r="37" ht="20" customHeight="1">
      <c r="B37" s="33" t="inlineStr">
        <is>
          <t>DEPENDENCIES</t>
        </is>
      </c>
      <c r="C37" s="83" t="n"/>
    </row>
    <row r="38" ht="45" customHeight="1">
      <c r="B38" s="34" t="inlineStr">
        <is>
          <t>Enter the Task ID that must finish before this task can start. Use T-XXX format. For parallel tasks note SS (Start-to-Start). Mirrors predecessor logic in MS Project.</t>
        </is>
      </c>
      <c r="C38" s="83" t="n"/>
    </row>
    <row r="40" ht="20" customHeight="1">
      <c r="B40" s="33" t="inlineStr">
        <is>
          <t>DELIVERABLE / OUTPUT</t>
        </is>
      </c>
      <c r="C40" s="83" t="n"/>
    </row>
    <row r="41" ht="45" customHeight="1">
      <c r="B41" s="34" t="inlineStr">
        <is>
          <t>The formal document or artefact produced when this task is complete. Examples: BRS v1.0 — Signed, UAT Sign-Off Form, Deployment Checklist. This is what the client or auditor will look for as evidence of task completion.</t>
        </is>
      </c>
      <c r="C41" s="83" t="n"/>
    </row>
    <row r="43" ht="20" customHeight="1">
      <c r="B43" s="33" t="inlineStr">
        <is>
          <t>REMARKS</t>
        </is>
      </c>
      <c r="C43" s="83" t="n"/>
    </row>
    <row r="44" ht="45" customHeight="1">
      <c r="B44" s="34" t="inlineStr">
        <is>
          <t>Brief notes on delays, blockers, decisions, or escalations. One to two lines maximum. This forms your informal audit trail between formal status reports.</t>
        </is>
      </c>
      <c r="C44" s="83" t="n"/>
    </row>
    <row r="47" ht="24" customHeight="1">
      <c r="B47" s="35" t="inlineStr">
        <is>
          <t>STATUS AND PRIORITY LEGEND</t>
        </is>
      </c>
    </row>
    <row r="48" ht="24" customHeight="1">
      <c r="B48" s="36" t="inlineStr">
        <is>
          <t>COMPLETE</t>
        </is>
      </c>
      <c r="C48" s="37" t="inlineStr">
        <is>
          <t>Task finished and verified. Actual end date recorded.</t>
        </is>
      </c>
    </row>
    <row r="49" ht="24" customHeight="1">
      <c r="B49" s="38" t="inlineStr">
        <is>
          <t>IN PROGRESS</t>
        </is>
      </c>
      <c r="C49" s="39" t="inlineStr">
        <is>
          <t>Task actively being worked on. % Complete should reflect actual progress.</t>
        </is>
      </c>
    </row>
    <row r="50" ht="24" customHeight="1">
      <c r="B50" s="40" t="inlineStr">
        <is>
          <t>NOT STARTED</t>
        </is>
      </c>
      <c r="C50" s="34" t="inlineStr">
        <is>
          <t>Task not yet begun. Planned start date is in the future.</t>
        </is>
      </c>
    </row>
    <row r="51" ht="24" customHeight="1">
      <c r="B51" s="41" t="inlineStr">
        <is>
          <t>ON HOLD</t>
        </is>
      </c>
      <c r="C51" s="42" t="inlineStr">
        <is>
          <t>Task paused. Reason must be noted in Remarks. Escalate if hold exceeds 1 week.</t>
        </is>
      </c>
    </row>
    <row r="52" ht="24" customHeight="1">
      <c r="B52" s="43" t="inlineStr">
        <is>
          <t>OVERDUE</t>
        </is>
      </c>
      <c r="C52" s="44" t="inlineStr">
        <is>
          <t>Planned end date has passed and task is not complete. Requires immediate escalation.</t>
        </is>
      </c>
    </row>
    <row r="53" ht="24" customHeight="1">
      <c r="B53" s="43" t="inlineStr">
        <is>
          <t>HIGH</t>
        </is>
      </c>
      <c r="C53" s="44" t="inlineStr">
        <is>
          <t>Priority: directly impacts milestone or critical path. Must complete on time.</t>
        </is>
      </c>
    </row>
    <row r="54" ht="24" customHeight="1">
      <c r="B54" s="38" t="inlineStr">
        <is>
          <t>MEDIUM</t>
        </is>
      </c>
      <c r="C54" s="39" t="inlineStr">
        <is>
          <t>Priority: important but has some scheduling flexibility.</t>
        </is>
      </c>
    </row>
    <row r="55" ht="24" customHeight="1">
      <c r="B55" s="36" t="inlineStr">
        <is>
          <t>LOW</t>
        </is>
      </c>
      <c r="C55" s="37" t="inlineStr">
        <is>
          <t>Priority: can be deferred if high priority tasks require attention.</t>
        </is>
      </c>
    </row>
  </sheetData>
  <mergeCells count="30">
    <mergeCell ref="B47:C47"/>
    <mergeCell ref="B16:C16"/>
    <mergeCell ref="B7:C7"/>
    <mergeCell ref="B25:C25"/>
    <mergeCell ref="B22:C22"/>
    <mergeCell ref="B31:C31"/>
    <mergeCell ref="B43:C43"/>
    <mergeCell ref="B2:C2"/>
    <mergeCell ref="B11:C11"/>
    <mergeCell ref="B23:C23"/>
    <mergeCell ref="B14:C14"/>
    <mergeCell ref="B17:C17"/>
    <mergeCell ref="B8:C8"/>
    <mergeCell ref="B13:C13"/>
    <mergeCell ref="B38:C38"/>
    <mergeCell ref="B44:C44"/>
    <mergeCell ref="B29:C29"/>
    <mergeCell ref="B19:C19"/>
    <mergeCell ref="B34:C34"/>
    <mergeCell ref="B37:C37"/>
    <mergeCell ref="B10:C10"/>
    <mergeCell ref="B28:C28"/>
    <mergeCell ref="B40:C40"/>
    <mergeCell ref="B5:C5"/>
    <mergeCell ref="B20:C20"/>
    <mergeCell ref="B32:C32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2026-03-17T06:59:01Z</dcterms:created>
  <dcterms:modified xmlns:dcterms="http://purl.org/dc/terms/" xmlns:xsi="http://www.w3.org/2001/XMLSchema-instance" xsi:type="dcterms:W3CDTF">2026-03-17T07:04:49Z</dcterms:modified>
</cp:coreProperties>
</file>